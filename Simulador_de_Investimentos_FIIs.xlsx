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\Documents\Curso AI e Reports Excel\Simulador de Investimentos\"/>
    </mc:Choice>
  </mc:AlternateContent>
  <xr:revisionPtr revIDLastSave="0" documentId="8_{C8D8434D-7A75-440A-91AC-57D4478BE791}" xr6:coauthVersionLast="47" xr6:coauthVersionMax="47" xr10:uidLastSave="{00000000-0000-0000-0000-000000000000}"/>
  <bookViews>
    <workbookView xWindow="-120" yWindow="-120" windowWidth="20730" windowHeight="11160" xr2:uid="{3B6DEBCC-123C-40BF-97AC-929333467BA4}"/>
  </bookViews>
  <sheets>
    <sheet name="Simulação" sheetId="1" r:id="rId1"/>
    <sheet name="Sheet1" sheetId="3" r:id="rId2"/>
  </sheets>
  <definedNames>
    <definedName name="aporte_inicial">Simulação!$D$16</definedName>
    <definedName name="investim_mensal">Simulação!$D$17</definedName>
    <definedName name="Nper">Simulação!$D$18</definedName>
    <definedName name="patrimonio">Simulação!$D$20</definedName>
    <definedName name="rendimento">Simulação!$D$12</definedName>
    <definedName name="Salario">Simulação!$D$11</definedName>
    <definedName name="tx_rend">Simulação!$D$19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4" i="1" l="1"/>
  <c r="C39" i="1"/>
  <c r="C40" i="1"/>
  <c r="D40" i="1" s="1"/>
  <c r="C41" i="1"/>
  <c r="D41" i="1" s="1"/>
  <c r="C42" i="1"/>
  <c r="D42" i="1" s="1"/>
  <c r="C43" i="1"/>
  <c r="D43" i="1" s="1"/>
  <c r="C38" i="1"/>
  <c r="D13" i="1"/>
  <c r="C27" i="1"/>
  <c r="D27" i="1" s="1"/>
  <c r="C28" i="1"/>
  <c r="D28" i="1" s="1"/>
  <c r="C29" i="1"/>
  <c r="D29" i="1" s="1"/>
  <c r="C30" i="1"/>
  <c r="D30" i="1" s="1"/>
  <c r="C26" i="1"/>
  <c r="D26" i="1" s="1"/>
  <c r="D20" i="1"/>
  <c r="D21" i="1" s="1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" i="3"/>
  <c r="D39" i="1" l="1"/>
  <c r="D3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62B5F3-4ED9-4BE5-95A4-AB5E70FAD20B}" keepAlive="1" name="Query - fundosListados" description="Connection to the 'fundosListados' query in the workbook." type="5" refreshedVersion="8" background="1" saveData="1">
    <dbPr connection="Provider=Microsoft.Mashup.OleDb.1;Data Source=$Workbook$;Location=fundosListados;Extended Properties=&quot;&quot;" command="SELECT * FROM [fundosListados]"/>
  </connection>
</connections>
</file>

<file path=xl/sharedStrings.xml><?xml version="1.0" encoding="utf-8"?>
<sst xmlns="http://schemas.openxmlformats.org/spreadsheetml/2006/main" count="75" uniqueCount="42">
  <si>
    <t>CONFIGURAÇÕES</t>
  </si>
  <si>
    <t>Salário</t>
  </si>
  <si>
    <t>Rendimento da Carteira</t>
  </si>
  <si>
    <t>INVESTIMENTO INICIAL</t>
  </si>
  <si>
    <t>Aporte Inicial</t>
  </si>
  <si>
    <t>Valor de Investimento Mensal</t>
  </si>
  <si>
    <t>Período de Investimento (Anos)</t>
  </si>
  <si>
    <t>Taxa de Rendimento Mensal</t>
  </si>
  <si>
    <t>Dividendos Mensais *</t>
  </si>
  <si>
    <t>Patrimônio Acumulado *</t>
  </si>
  <si>
    <t>* Ao final do período informado</t>
  </si>
  <si>
    <t>CENÁRIOS</t>
  </si>
  <si>
    <t>Valor Acumulado em 2 anos</t>
  </si>
  <si>
    <t>Valor Acumulado em 5 anos</t>
  </si>
  <si>
    <t>Valor Acumulado em 10 anos</t>
  </si>
  <si>
    <t>Valor Acumulado em 20 anos</t>
  </si>
  <si>
    <t>Valor Acumulado em 30 anos</t>
  </si>
  <si>
    <t>Clique aqui e faça o teste para descobrir o seu perfil</t>
  </si>
  <si>
    <t>Perfil De Investidor</t>
  </si>
  <si>
    <t>Valor a Ser Investido Por Mês</t>
  </si>
  <si>
    <t>TIPO DE FII</t>
  </si>
  <si>
    <t>PAPEL</t>
  </si>
  <si>
    <t>TIJOLO</t>
  </si>
  <si>
    <t>HÍBRIDOS</t>
  </si>
  <si>
    <t>DESENVOLVIMENTO</t>
  </si>
  <si>
    <t>HOTELARIAS</t>
  </si>
  <si>
    <t>Percentual Sugerido</t>
  </si>
  <si>
    <t>Valores</t>
  </si>
  <si>
    <t>Chave</t>
  </si>
  <si>
    <t>Perfil</t>
  </si>
  <si>
    <t>Tipo de FII</t>
  </si>
  <si>
    <t>%</t>
  </si>
  <si>
    <t>Conservador</t>
  </si>
  <si>
    <t>FOFs</t>
  </si>
  <si>
    <t>Moderado</t>
  </si>
  <si>
    <t>Agressivo</t>
  </si>
  <si>
    <t>Sugestão de Investimento (30%)</t>
  </si>
  <si>
    <t>Período</t>
  </si>
  <si>
    <t>Valor Acumulado</t>
  </si>
  <si>
    <t>Dividendo</t>
  </si>
  <si>
    <t>CONSERVADOR</t>
  </si>
  <si>
    <t>DIVERSIFICAÇÃO DE CARTEIRA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</si>
</sst>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7" formatCode="&quot;R$&quot;\ 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9"/>
      <color theme="1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5D"/>
        <bgColor indexed="64"/>
      </patternFill>
    </fill>
    <fill>
      <patternFill patternType="solid">
        <fgColor rgb="FFFF696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96B2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569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AB43E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 style="medium">
        <color rgb="FF002060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rgb="FF002060"/>
      </left>
      <right/>
      <top style="thin">
        <color theme="0" tint="-0.14996795556505021"/>
      </top>
      <bottom style="medium">
        <color rgb="FF002060"/>
      </bottom>
      <diagonal/>
    </border>
    <border>
      <left/>
      <right/>
      <top style="thin">
        <color theme="0" tint="-0.14996795556505021"/>
      </top>
      <bottom style="medium">
        <color rgb="FF002060"/>
      </bottom>
      <diagonal/>
    </border>
    <border>
      <left style="thin">
        <color theme="0" tint="-0.14996795556505021"/>
      </left>
      <right style="medium">
        <color rgb="FF002060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rgb="FF002060"/>
      </right>
      <top style="thin">
        <color theme="0" tint="-0.14996795556505021"/>
      </top>
      <bottom style="medium">
        <color rgb="FF002060"/>
      </bottom>
      <diagonal/>
    </border>
    <border>
      <left style="medium">
        <color rgb="FF002060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rgb="FF002060"/>
      </left>
      <right style="thin">
        <color theme="0" tint="-0.14996795556505021"/>
      </right>
      <top style="thin">
        <color theme="0" tint="-0.14996795556505021"/>
      </top>
      <bottom style="medium">
        <color rgb="FF002060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rgb="FF002060"/>
      </bottom>
      <diagonal/>
    </border>
    <border>
      <left style="medium">
        <color rgb="FF00206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85">
    <xf numFmtId="0" fontId="0" fillId="0" borderId="0" xfId="0"/>
    <xf numFmtId="0" fontId="4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9" fontId="0" fillId="3" borderId="3" xfId="2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9" fontId="0" fillId="3" borderId="6" xfId="2" applyFont="1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9" fontId="0" fillId="3" borderId="9" xfId="2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4" borderId="2" xfId="0" applyFill="1" applyBorder="1" applyAlignment="1">
      <alignment vertical="center"/>
    </xf>
    <xf numFmtId="9" fontId="0" fillId="4" borderId="3" xfId="2" applyFont="1" applyFill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5" xfId="0" applyFill="1" applyBorder="1" applyAlignment="1">
      <alignment vertical="center"/>
    </xf>
    <xf numFmtId="9" fontId="0" fillId="4" borderId="6" xfId="2" applyFont="1" applyFill="1" applyBorder="1" applyAlignment="1">
      <alignment vertical="center"/>
    </xf>
    <xf numFmtId="0" fontId="0" fillId="4" borderId="7" xfId="0" applyFill="1" applyBorder="1" applyAlignment="1">
      <alignment vertical="center"/>
    </xf>
    <xf numFmtId="0" fontId="0" fillId="4" borderId="8" xfId="0" applyFill="1" applyBorder="1" applyAlignment="1">
      <alignment vertical="center"/>
    </xf>
    <xf numFmtId="9" fontId="0" fillId="4" borderId="9" xfId="2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5" borderId="2" xfId="0" applyFill="1" applyBorder="1" applyAlignment="1">
      <alignment vertical="center"/>
    </xf>
    <xf numFmtId="9" fontId="0" fillId="5" borderId="3" xfId="2" applyFont="1" applyFill="1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5" xfId="0" applyFill="1" applyBorder="1" applyAlignment="1">
      <alignment vertical="center"/>
    </xf>
    <xf numFmtId="9" fontId="0" fillId="5" borderId="6" xfId="2" applyFont="1" applyFill="1" applyBorder="1" applyAlignment="1">
      <alignment vertical="center"/>
    </xf>
    <xf numFmtId="0" fontId="0" fillId="5" borderId="10" xfId="0" applyFill="1" applyBorder="1" applyAlignment="1">
      <alignment vertical="center"/>
    </xf>
    <xf numFmtId="0" fontId="0" fillId="5" borderId="11" xfId="0" applyFill="1" applyBorder="1" applyAlignment="1">
      <alignment vertical="center"/>
    </xf>
    <xf numFmtId="9" fontId="0" fillId="5" borderId="12" xfId="2" applyFont="1" applyFill="1" applyBorder="1" applyAlignment="1">
      <alignment vertical="center"/>
    </xf>
    <xf numFmtId="2" fontId="7" fillId="0" borderId="0" xfId="0" applyNumberFormat="1" applyFont="1"/>
    <xf numFmtId="0" fontId="8" fillId="6" borderId="13" xfId="0" applyFont="1" applyFill="1" applyBorder="1" applyAlignment="1">
      <alignment horizontal="centerContinuous" vertical="center"/>
    </xf>
    <xf numFmtId="0" fontId="8" fillId="6" borderId="14" xfId="0" applyFont="1" applyFill="1" applyBorder="1" applyAlignment="1">
      <alignment horizontal="centerContinuous" vertical="center"/>
    </xf>
    <xf numFmtId="0" fontId="8" fillId="6" borderId="15" xfId="0" applyFont="1" applyFill="1" applyBorder="1" applyAlignment="1">
      <alignment horizontal="centerContinuous" vertical="center"/>
    </xf>
    <xf numFmtId="0" fontId="8" fillId="7" borderId="13" xfId="0" applyFont="1" applyFill="1" applyBorder="1" applyAlignment="1">
      <alignment horizontal="centerContinuous" vertical="center"/>
    </xf>
    <xf numFmtId="0" fontId="8" fillId="7" borderId="14" xfId="0" applyFont="1" applyFill="1" applyBorder="1" applyAlignment="1">
      <alignment horizontal="centerContinuous" vertical="center"/>
    </xf>
    <xf numFmtId="0" fontId="8" fillId="7" borderId="15" xfId="0" applyFont="1" applyFill="1" applyBorder="1" applyAlignment="1">
      <alignment horizontal="centerContinuous" vertical="center"/>
    </xf>
    <xf numFmtId="0" fontId="3" fillId="0" borderId="16" xfId="0" applyFont="1" applyBorder="1"/>
    <xf numFmtId="0" fontId="3" fillId="0" borderId="0" xfId="0" applyFont="1" applyBorder="1"/>
    <xf numFmtId="0" fontId="0" fillId="0" borderId="16" xfId="0" applyBorder="1"/>
    <xf numFmtId="0" fontId="0" fillId="0" borderId="18" xfId="0" applyBorder="1"/>
    <xf numFmtId="0" fontId="2" fillId="9" borderId="13" xfId="0" applyFont="1" applyFill="1" applyBorder="1" applyAlignment="1">
      <alignment horizontal="centerContinuous" vertical="center"/>
    </xf>
    <xf numFmtId="0" fontId="2" fillId="9" borderId="14" xfId="0" applyFont="1" applyFill="1" applyBorder="1" applyAlignment="1">
      <alignment horizontal="centerContinuous" vertical="center"/>
    </xf>
    <xf numFmtId="0" fontId="2" fillId="9" borderId="15" xfId="0" applyFont="1" applyFill="1" applyBorder="1" applyAlignment="1">
      <alignment horizontal="centerContinuous" vertical="center"/>
    </xf>
    <xf numFmtId="0" fontId="9" fillId="4" borderId="16" xfId="0" applyFont="1" applyFill="1" applyBorder="1"/>
    <xf numFmtId="0" fontId="9" fillId="4" borderId="0" xfId="0" applyFont="1" applyFill="1" applyBorder="1"/>
    <xf numFmtId="0" fontId="9" fillId="4" borderId="17" xfId="0" applyFont="1" applyFill="1" applyBorder="1" applyAlignment="1">
      <alignment horizontal="center"/>
    </xf>
    <xf numFmtId="44" fontId="3" fillId="0" borderId="17" xfId="1" applyFont="1" applyBorder="1"/>
    <xf numFmtId="0" fontId="6" fillId="0" borderId="16" xfId="3" applyFont="1" applyBorder="1"/>
    <xf numFmtId="0" fontId="0" fillId="0" borderId="0" xfId="0" applyBorder="1"/>
    <xf numFmtId="0" fontId="0" fillId="0" borderId="17" xfId="0" applyBorder="1"/>
    <xf numFmtId="0" fontId="3" fillId="8" borderId="16" xfId="0" applyFont="1" applyFill="1" applyBorder="1" applyAlignment="1">
      <alignment horizontal="center"/>
    </xf>
    <xf numFmtId="0" fontId="3" fillId="8" borderId="0" xfId="0" applyFont="1" applyFill="1" applyBorder="1" applyAlignment="1">
      <alignment horizontal="center"/>
    </xf>
    <xf numFmtId="0" fontId="3" fillId="8" borderId="17" xfId="0" applyFont="1" applyFill="1" applyBorder="1" applyAlignment="1">
      <alignment horizontal="center"/>
    </xf>
    <xf numFmtId="0" fontId="0" fillId="0" borderId="19" xfId="0" applyBorder="1"/>
    <xf numFmtId="0" fontId="0" fillId="0" borderId="20" xfId="0" applyBorder="1"/>
    <xf numFmtId="167" fontId="0" fillId="0" borderId="25" xfId="1" applyNumberFormat="1" applyFont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10" fontId="0" fillId="0" borderId="25" xfId="2" applyNumberFormat="1" applyFont="1" applyBorder="1" applyAlignment="1">
      <alignment horizontal="center"/>
    </xf>
    <xf numFmtId="0" fontId="0" fillId="10" borderId="21" xfId="0" applyFill="1" applyBorder="1"/>
    <xf numFmtId="0" fontId="0" fillId="10" borderId="22" xfId="0" applyFill="1" applyBorder="1"/>
    <xf numFmtId="0" fontId="3" fillId="8" borderId="21" xfId="0" applyFont="1" applyFill="1" applyBorder="1"/>
    <xf numFmtId="0" fontId="3" fillId="8" borderId="22" xfId="0" applyFont="1" applyFill="1" applyBorder="1"/>
    <xf numFmtId="8" fontId="3" fillId="8" borderId="25" xfId="1" applyNumberFormat="1" applyFont="1" applyFill="1" applyBorder="1" applyAlignment="1">
      <alignment horizontal="center"/>
    </xf>
    <xf numFmtId="0" fontId="3" fillId="8" borderId="23" xfId="0" applyFont="1" applyFill="1" applyBorder="1"/>
    <xf numFmtId="0" fontId="3" fillId="8" borderId="24" xfId="0" applyFont="1" applyFill="1" applyBorder="1"/>
    <xf numFmtId="167" fontId="3" fillId="8" borderId="26" xfId="1" applyNumberFormat="1" applyFont="1" applyFill="1" applyBorder="1" applyAlignment="1">
      <alignment horizontal="center"/>
    </xf>
    <xf numFmtId="0" fontId="0" fillId="10" borderId="27" xfId="0" applyFill="1" applyBorder="1"/>
    <xf numFmtId="0" fontId="0" fillId="10" borderId="28" xfId="0" applyFill="1" applyBorder="1"/>
    <xf numFmtId="0" fontId="0" fillId="10" borderId="29" xfId="0" applyFill="1" applyBorder="1"/>
    <xf numFmtId="0" fontId="0" fillId="10" borderId="30" xfId="0" applyFill="1" applyBorder="1"/>
    <xf numFmtId="167" fontId="0" fillId="10" borderId="26" xfId="1" applyNumberFormat="1" applyFont="1" applyFill="1" applyBorder="1" applyAlignment="1">
      <alignment horizontal="center"/>
    </xf>
    <xf numFmtId="0" fontId="2" fillId="11" borderId="31" xfId="0" applyFont="1" applyFill="1" applyBorder="1" applyAlignment="1">
      <alignment horizontal="centerContinuous" vertical="center"/>
    </xf>
    <xf numFmtId="0" fontId="2" fillId="11" borderId="32" xfId="0" applyFont="1" applyFill="1" applyBorder="1" applyAlignment="1">
      <alignment horizontal="centerContinuous" vertical="center"/>
    </xf>
    <xf numFmtId="0" fontId="2" fillId="11" borderId="33" xfId="0" applyFont="1" applyFill="1" applyBorder="1" applyAlignment="1">
      <alignment horizontal="centerContinuous" vertical="center"/>
    </xf>
    <xf numFmtId="0" fontId="0" fillId="10" borderId="27" xfId="0" applyFill="1" applyBorder="1"/>
    <xf numFmtId="8" fontId="0" fillId="10" borderId="28" xfId="0" applyNumberFormat="1" applyFill="1" applyBorder="1" applyAlignment="1">
      <alignment horizontal="center"/>
    </xf>
    <xf numFmtId="8" fontId="0" fillId="10" borderId="25" xfId="0" applyNumberFormat="1" applyFill="1" applyBorder="1" applyAlignment="1">
      <alignment horizontal="center"/>
    </xf>
    <xf numFmtId="0" fontId="0" fillId="10" borderId="29" xfId="0" applyFill="1" applyBorder="1"/>
    <xf numFmtId="8" fontId="0" fillId="10" borderId="30" xfId="0" applyNumberFormat="1" applyFill="1" applyBorder="1" applyAlignment="1">
      <alignment horizontal="center"/>
    </xf>
    <xf numFmtId="8" fontId="0" fillId="10" borderId="26" xfId="0" applyNumberFormat="1" applyFill="1" applyBorder="1" applyAlignment="1">
      <alignment horizontal="center"/>
    </xf>
    <xf numFmtId="9" fontId="0" fillId="0" borderId="28" xfId="2" applyFont="1" applyBorder="1" applyAlignment="1">
      <alignment horizontal="center"/>
    </xf>
    <xf numFmtId="44" fontId="0" fillId="10" borderId="25" xfId="1" applyFont="1" applyFill="1" applyBorder="1"/>
    <xf numFmtId="0" fontId="0" fillId="0" borderId="27" xfId="0" applyBorder="1" applyAlignment="1">
      <alignment horizontal="center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2AB43E"/>
      <color rgb="FFFFFF5D"/>
      <color rgb="FF005696"/>
      <color rgb="FF196B24"/>
      <color rgb="FFFFC000"/>
      <color rgb="FFFF69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ln>
              <a:noFill/>
            </a:ln>
          </c:spPr>
          <c:explosion val="6"/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Simulação!$B$38:$B$43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Simulação!$C$38:$C$43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B8-47C0-ABCC-E35EE4DA5C52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Simulação!$B$38:$B$43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Simulação!$D$38:$D$43</c:f>
              <c:numCache>
                <c:formatCode>_("R$"* #,##0.00_);_("R$"* \(#,##0.00\);_("R$"* "-"??_);_(@_)</c:formatCode>
                <c:ptCount val="6"/>
                <c:pt idx="0">
                  <c:v>168</c:v>
                </c:pt>
                <c:pt idx="1">
                  <c:v>280</c:v>
                </c:pt>
                <c:pt idx="2">
                  <c:v>56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B8-47C0-ABCC-E35EE4DA5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133350</xdr:colOff>
      <xdr:row>1</xdr:row>
      <xdr:rowOff>0</xdr:rowOff>
    </xdr:from>
    <xdr:to>
      <xdr:col>4</xdr:col>
      <xdr:colOff>0</xdr:colOff>
      <xdr:row>8</xdr:row>
      <xdr:rowOff>69452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5959C721-E0ED-4AAD-87AA-33EDB4331F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133350" y="142875"/>
          <a:ext cx="5172075" cy="1402952"/>
        </a:xfrm>
        <a:prstGeom prst="rect">
          <a:avLst/>
        </a:prstGeom>
      </xdr:spPr>
    </xdr:pic>
    <xdr:clientData/>
  </xdr:twoCellAnchor>
  <xdr:twoCellAnchor>
    <xdr:from>
      <xdr:col>0</xdr:col>
      <xdr:colOff>609599</xdr:colOff>
      <xdr:row>44</xdr:row>
      <xdr:rowOff>0</xdr:rowOff>
    </xdr:from>
    <xdr:to>
      <xdr:col>4</xdr:col>
      <xdr:colOff>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2B5D93-65F0-E5D7-6D4D-BBB79141A5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conomus.com.br/teste_perfil_investido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93D7D-6278-4C54-A8BE-31FB9F75790B}">
  <dimension ref="A1:E61"/>
  <sheetViews>
    <sheetView showGridLines="0" tabSelected="1" workbookViewId="0"/>
  </sheetViews>
  <sheetFormatPr defaultColWidth="0" defaultRowHeight="15" zeroHeight="1" x14ac:dyDescent="0.25"/>
  <cols>
    <col min="1" max="1" width="2.28515625" customWidth="1"/>
    <col min="2" max="2" width="37.140625" bestFit="1" customWidth="1"/>
    <col min="3" max="3" width="24.140625" customWidth="1"/>
    <col min="4" max="4" width="16" customWidth="1"/>
    <col min="5" max="5" width="2.28515625" customWidth="1"/>
    <col min="6" max="16384" width="9.140625" hidden="1"/>
  </cols>
  <sheetData>
    <row r="1" spans="2:4" ht="11.25" customHeight="1" x14ac:dyDescent="0.25"/>
    <row r="2" spans="2:4" x14ac:dyDescent="0.25"/>
    <row r="3" spans="2:4" x14ac:dyDescent="0.25"/>
    <row r="4" spans="2:4" x14ac:dyDescent="0.25"/>
    <row r="5" spans="2:4" x14ac:dyDescent="0.25"/>
    <row r="6" spans="2:4" x14ac:dyDescent="0.25"/>
    <row r="7" spans="2:4" x14ac:dyDescent="0.25"/>
    <row r="8" spans="2:4" x14ac:dyDescent="0.25"/>
    <row r="9" spans="2:4" ht="19.5" customHeight="1" thickBot="1" x14ac:dyDescent="0.3"/>
    <row r="10" spans="2:4" ht="22.5" customHeight="1" x14ac:dyDescent="0.25">
      <c r="B10" s="32" t="s">
        <v>0</v>
      </c>
      <c r="C10" s="33"/>
      <c r="D10" s="34"/>
    </row>
    <row r="11" spans="2:4" x14ac:dyDescent="0.25">
      <c r="B11" s="68" t="s">
        <v>1</v>
      </c>
      <c r="C11" s="69"/>
      <c r="D11" s="57">
        <v>1000</v>
      </c>
    </row>
    <row r="12" spans="2:4" x14ac:dyDescent="0.25">
      <c r="B12" s="68" t="s">
        <v>2</v>
      </c>
      <c r="C12" s="69"/>
      <c r="D12" s="59">
        <v>6.0000000000000001E-3</v>
      </c>
    </row>
    <row r="13" spans="2:4" ht="15.75" thickBot="1" x14ac:dyDescent="0.3">
      <c r="B13" s="70" t="s">
        <v>36</v>
      </c>
      <c r="C13" s="71"/>
      <c r="D13" s="72">
        <f>Salario*30%</f>
        <v>300</v>
      </c>
    </row>
    <row r="14" spans="2:4" ht="15.75" thickBot="1" x14ac:dyDescent="0.3"/>
    <row r="15" spans="2:4" ht="22.5" customHeight="1" x14ac:dyDescent="0.25">
      <c r="B15" s="35" t="s">
        <v>3</v>
      </c>
      <c r="C15" s="36"/>
      <c r="D15" s="37"/>
    </row>
    <row r="16" spans="2:4" x14ac:dyDescent="0.25">
      <c r="B16" s="60" t="s">
        <v>4</v>
      </c>
      <c r="C16" s="61"/>
      <c r="D16" s="57">
        <v>10000</v>
      </c>
    </row>
    <row r="17" spans="1:4" x14ac:dyDescent="0.25">
      <c r="B17" s="60" t="s">
        <v>5</v>
      </c>
      <c r="C17" s="61"/>
      <c r="D17" s="57">
        <v>560</v>
      </c>
    </row>
    <row r="18" spans="1:4" x14ac:dyDescent="0.25">
      <c r="B18" s="60" t="s">
        <v>6</v>
      </c>
      <c r="C18" s="61"/>
      <c r="D18" s="58">
        <v>5</v>
      </c>
    </row>
    <row r="19" spans="1:4" x14ac:dyDescent="0.25">
      <c r="B19" s="60" t="s">
        <v>7</v>
      </c>
      <c r="C19" s="61"/>
      <c r="D19" s="59">
        <v>1.0800000000000001E-2</v>
      </c>
    </row>
    <row r="20" spans="1:4" x14ac:dyDescent="0.25">
      <c r="B20" s="62" t="s">
        <v>9</v>
      </c>
      <c r="C20" s="63"/>
      <c r="D20" s="64">
        <f>FV(tx_rend,Nper*12,investim_mensal,aporte_inicial)*-1</f>
        <v>65981.084931984631</v>
      </c>
    </row>
    <row r="21" spans="1:4" ht="15.75" thickBot="1" x14ac:dyDescent="0.3">
      <c r="B21" s="65" t="s">
        <v>8</v>
      </c>
      <c r="C21" s="66"/>
      <c r="D21" s="67">
        <f>patrimonio*rendimento</f>
        <v>395.88650959190778</v>
      </c>
    </row>
    <row r="22" spans="1:4" ht="12" customHeight="1" x14ac:dyDescent="0.25">
      <c r="B22" s="1" t="s">
        <v>10</v>
      </c>
    </row>
    <row r="23" spans="1:4" ht="8.25" customHeight="1" thickBot="1" x14ac:dyDescent="0.3"/>
    <row r="24" spans="1:4" ht="22.5" customHeight="1" x14ac:dyDescent="0.25">
      <c r="B24" s="35" t="s">
        <v>11</v>
      </c>
      <c r="C24" s="36"/>
      <c r="D24" s="37"/>
    </row>
    <row r="25" spans="1:4" x14ac:dyDescent="0.25">
      <c r="B25" s="73" t="s">
        <v>37</v>
      </c>
      <c r="C25" s="74" t="s">
        <v>38</v>
      </c>
      <c r="D25" s="75" t="s">
        <v>39</v>
      </c>
    </row>
    <row r="26" spans="1:4" x14ac:dyDescent="0.25">
      <c r="A26" s="31">
        <v>2</v>
      </c>
      <c r="B26" s="76" t="s">
        <v>12</v>
      </c>
      <c r="C26" s="77">
        <f>FV(tx_rend,$A26*12,investim_mensal,aporte_inicial)*-1</f>
        <v>28190.216925268502</v>
      </c>
      <c r="D26" s="78">
        <f>C26*rendimento</f>
        <v>169.14130155161101</v>
      </c>
    </row>
    <row r="27" spans="1:4" x14ac:dyDescent="0.25">
      <c r="A27" s="31">
        <v>5</v>
      </c>
      <c r="B27" s="76" t="s">
        <v>13</v>
      </c>
      <c r="C27" s="77">
        <f>FV(tx_rend,$A27*12,investim_mensal,aporte_inicial)*-1</f>
        <v>65981.084931984631</v>
      </c>
      <c r="D27" s="78">
        <f>C27*rendimento</f>
        <v>395.88650959190778</v>
      </c>
    </row>
    <row r="28" spans="1:4" x14ac:dyDescent="0.25">
      <c r="A28" s="31">
        <v>10</v>
      </c>
      <c r="B28" s="76" t="s">
        <v>14</v>
      </c>
      <c r="C28" s="77">
        <f>FV(tx_rend,$A28*12,investim_mensal,aporte_inicial)*-1</f>
        <v>172629.72105820649</v>
      </c>
      <c r="D28" s="78">
        <f>C28*rendimento</f>
        <v>1035.778326349239</v>
      </c>
    </row>
    <row r="29" spans="1:4" x14ac:dyDescent="0.25">
      <c r="A29" s="31">
        <v>20</v>
      </c>
      <c r="B29" s="76" t="s">
        <v>15</v>
      </c>
      <c r="C29" s="77">
        <f>FV(tx_rend,$A29*12,investim_mensal,aporte_inicial)*-1</f>
        <v>762868.72752341372</v>
      </c>
      <c r="D29" s="78">
        <f>C29*rendimento</f>
        <v>4577.2123651404827</v>
      </c>
    </row>
    <row r="30" spans="1:4" ht="15.75" thickBot="1" x14ac:dyDescent="0.3">
      <c r="A30" s="31">
        <v>30</v>
      </c>
      <c r="B30" s="79" t="s">
        <v>16</v>
      </c>
      <c r="C30" s="80">
        <f>FV(tx_rend,$A30*12,investim_mensal,aporte_inicial)*-1</f>
        <v>2905048.4132915903</v>
      </c>
      <c r="D30" s="81">
        <f>C30*rendimento</f>
        <v>17430.290479749543</v>
      </c>
    </row>
    <row r="31" spans="1:4" ht="15.75" thickBot="1" x14ac:dyDescent="0.3"/>
    <row r="32" spans="1:4" ht="19.5" customHeight="1" x14ac:dyDescent="0.25">
      <c r="B32" s="42" t="s">
        <v>41</v>
      </c>
      <c r="C32" s="43"/>
      <c r="D32" s="44"/>
    </row>
    <row r="33" spans="2:4" x14ac:dyDescent="0.25">
      <c r="B33" s="45" t="s">
        <v>18</v>
      </c>
      <c r="C33" s="46"/>
      <c r="D33" s="47" t="s">
        <v>40</v>
      </c>
    </row>
    <row r="34" spans="2:4" x14ac:dyDescent="0.25">
      <c r="B34" s="38" t="s">
        <v>19</v>
      </c>
      <c r="C34" s="39"/>
      <c r="D34" s="48">
        <f>investim_mensal</f>
        <v>560</v>
      </c>
    </row>
    <row r="35" spans="2:4" x14ac:dyDescent="0.25">
      <c r="B35" s="49" t="s">
        <v>17</v>
      </c>
      <c r="C35" s="50"/>
      <c r="D35" s="51"/>
    </row>
    <row r="36" spans="2:4" x14ac:dyDescent="0.25">
      <c r="B36" s="40"/>
      <c r="C36" s="50"/>
      <c r="D36" s="51"/>
    </row>
    <row r="37" spans="2:4" x14ac:dyDescent="0.25">
      <c r="B37" s="52" t="s">
        <v>20</v>
      </c>
      <c r="C37" s="53" t="s">
        <v>26</v>
      </c>
      <c r="D37" s="54" t="s">
        <v>27</v>
      </c>
    </row>
    <row r="38" spans="2:4" x14ac:dyDescent="0.25">
      <c r="B38" s="84" t="s">
        <v>21</v>
      </c>
      <c r="C38" s="82">
        <f>VLOOKUP($D$33&amp;" - "&amp;B38,Sheet1!$A$2:$D$19,4,FALSE)</f>
        <v>0.3</v>
      </c>
      <c r="D38" s="83">
        <f>$D$34*C38</f>
        <v>168</v>
      </c>
    </row>
    <row r="39" spans="2:4" x14ac:dyDescent="0.25">
      <c r="B39" s="84" t="s">
        <v>22</v>
      </c>
      <c r="C39" s="82">
        <f>VLOOKUP($D$33&amp;" - "&amp;B39,Sheet1!$A$2:$D$19,4,FALSE)</f>
        <v>0.5</v>
      </c>
      <c r="D39" s="83">
        <f t="shared" ref="D39:D43" si="0">$D$34*C39</f>
        <v>280</v>
      </c>
    </row>
    <row r="40" spans="2:4" x14ac:dyDescent="0.25">
      <c r="B40" s="84" t="s">
        <v>23</v>
      </c>
      <c r="C40" s="82">
        <f>VLOOKUP($D$33&amp;" - "&amp;B40,Sheet1!$A$2:$D$19,4,FALSE)</f>
        <v>0.1</v>
      </c>
      <c r="D40" s="83">
        <f t="shared" si="0"/>
        <v>56</v>
      </c>
    </row>
    <row r="41" spans="2:4" x14ac:dyDescent="0.25">
      <c r="B41" s="84" t="s">
        <v>33</v>
      </c>
      <c r="C41" s="82">
        <f>VLOOKUP($D$33&amp;" - "&amp;B41,Sheet1!$A$2:$D$19,4,FALSE)</f>
        <v>0.1</v>
      </c>
      <c r="D41" s="83">
        <f t="shared" si="0"/>
        <v>56</v>
      </c>
    </row>
    <row r="42" spans="2:4" x14ac:dyDescent="0.25">
      <c r="B42" s="84" t="s">
        <v>24</v>
      </c>
      <c r="C42" s="82">
        <f>VLOOKUP($D$33&amp;" - "&amp;B42,Sheet1!$A$2:$D$19,4,FALSE)</f>
        <v>0</v>
      </c>
      <c r="D42" s="83">
        <f t="shared" si="0"/>
        <v>0</v>
      </c>
    </row>
    <row r="43" spans="2:4" x14ac:dyDescent="0.25">
      <c r="B43" s="84" t="s">
        <v>25</v>
      </c>
      <c r="C43" s="82">
        <f>VLOOKUP($D$33&amp;" - "&amp;B43,Sheet1!$A$2:$D$19,4,FALSE)</f>
        <v>0</v>
      </c>
      <c r="D43" s="83">
        <f t="shared" si="0"/>
        <v>0</v>
      </c>
    </row>
    <row r="44" spans="2:4" x14ac:dyDescent="0.25">
      <c r="B44" s="40"/>
      <c r="C44" s="50"/>
      <c r="D44" s="51"/>
    </row>
    <row r="45" spans="2:4" x14ac:dyDescent="0.25">
      <c r="B45" s="40"/>
      <c r="C45" s="50"/>
      <c r="D45" s="51"/>
    </row>
    <row r="46" spans="2:4" x14ac:dyDescent="0.25">
      <c r="B46" s="40"/>
      <c r="C46" s="50"/>
      <c r="D46" s="51"/>
    </row>
    <row r="47" spans="2:4" x14ac:dyDescent="0.25">
      <c r="B47" s="40"/>
      <c r="C47" s="50"/>
      <c r="D47" s="51"/>
    </row>
    <row r="48" spans="2:4" x14ac:dyDescent="0.25">
      <c r="B48" s="40"/>
      <c r="C48" s="50"/>
      <c r="D48" s="51"/>
    </row>
    <row r="49" spans="2:4" x14ac:dyDescent="0.25">
      <c r="B49" s="40"/>
      <c r="C49" s="50"/>
      <c r="D49" s="51"/>
    </row>
    <row r="50" spans="2:4" x14ac:dyDescent="0.25">
      <c r="B50" s="40"/>
      <c r="C50" s="50"/>
      <c r="D50" s="51"/>
    </row>
    <row r="51" spans="2:4" x14ac:dyDescent="0.25">
      <c r="B51" s="40"/>
      <c r="C51" s="50"/>
      <c r="D51" s="51"/>
    </row>
    <row r="52" spans="2:4" x14ac:dyDescent="0.25">
      <c r="B52" s="40"/>
      <c r="C52" s="50"/>
      <c r="D52" s="51"/>
    </row>
    <row r="53" spans="2:4" x14ac:dyDescent="0.25">
      <c r="B53" s="40"/>
      <c r="C53" s="50"/>
      <c r="D53" s="51"/>
    </row>
    <row r="54" spans="2:4" x14ac:dyDescent="0.25">
      <c r="B54" s="40"/>
      <c r="C54" s="50"/>
      <c r="D54" s="51"/>
    </row>
    <row r="55" spans="2:4" x14ac:dyDescent="0.25">
      <c r="B55" s="40"/>
      <c r="C55" s="50"/>
      <c r="D55" s="51"/>
    </row>
    <row r="56" spans="2:4" x14ac:dyDescent="0.25">
      <c r="B56" s="40"/>
      <c r="C56" s="50"/>
      <c r="D56" s="51"/>
    </row>
    <row r="57" spans="2:4" x14ac:dyDescent="0.25">
      <c r="B57" s="40"/>
      <c r="C57" s="50"/>
      <c r="D57" s="51"/>
    </row>
    <row r="58" spans="2:4" x14ac:dyDescent="0.25">
      <c r="B58" s="40"/>
      <c r="C58" s="50"/>
      <c r="D58" s="51"/>
    </row>
    <row r="59" spans="2:4" x14ac:dyDescent="0.25">
      <c r="B59" s="40"/>
      <c r="C59" s="50"/>
      <c r="D59" s="51"/>
    </row>
    <row r="60" spans="2:4" ht="15.75" thickBot="1" x14ac:dyDescent="0.3">
      <c r="B60" s="41"/>
      <c r="C60" s="55"/>
      <c r="D60" s="56"/>
    </row>
    <row r="61" spans="2:4" x14ac:dyDescent="0.25"/>
  </sheetData>
  <mergeCells count="9">
    <mergeCell ref="B19:C19"/>
    <mergeCell ref="B20:C20"/>
    <mergeCell ref="B21:C21"/>
    <mergeCell ref="B11:C11"/>
    <mergeCell ref="B12:C12"/>
    <mergeCell ref="B13:C13"/>
    <mergeCell ref="B16:C16"/>
    <mergeCell ref="B17:C17"/>
    <mergeCell ref="B18:C18"/>
  </mergeCells>
  <dataValidations count="1">
    <dataValidation type="list" allowBlank="1" showInputMessage="1" showErrorMessage="1" sqref="D33" xr:uid="{99F5E181-A793-470C-A183-3446469B9119}">
      <formula1>"CONSERVADOR,MODERADO,AGRESSIVO"</formula1>
    </dataValidation>
  </dataValidations>
  <hyperlinks>
    <hyperlink ref="B35" r:id="rId1" xr:uid="{65EAAB32-6651-449B-A318-9F4FE5CA7AAE}"/>
  </hyperlinks>
  <pageMargins left="0.7" right="0.7" top="0.75" bottom="0.75" header="0.3" footer="0.3"/>
  <pageSetup paperSize="9" orientation="portrait" horizontalDpi="0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2B86F-9957-4A10-BAE9-B78F4F48DC4D}">
  <dimension ref="A1:D19"/>
  <sheetViews>
    <sheetView workbookViewId="0">
      <selection activeCell="A22" sqref="A22"/>
    </sheetView>
  </sheetViews>
  <sheetFormatPr defaultRowHeight="15" x14ac:dyDescent="0.25"/>
  <cols>
    <col min="1" max="1" width="31.7109375" bestFit="1" customWidth="1"/>
    <col min="2" max="2" width="12.140625" bestFit="1" customWidth="1"/>
    <col min="3" max="3" width="20.42578125" customWidth="1"/>
    <col min="4" max="4" width="10.85546875" customWidth="1"/>
  </cols>
  <sheetData>
    <row r="1" spans="1:4" ht="21" customHeight="1" x14ac:dyDescent="0.25">
      <c r="A1" s="2" t="s">
        <v>28</v>
      </c>
      <c r="B1" s="2" t="s">
        <v>29</v>
      </c>
      <c r="C1" s="2" t="s">
        <v>30</v>
      </c>
      <c r="D1" s="2" t="s">
        <v>31</v>
      </c>
    </row>
    <row r="2" spans="1:4" s="6" customFormat="1" ht="18.75" customHeight="1" x14ac:dyDescent="0.25">
      <c r="A2" s="3" t="str">
        <f>B2&amp;" - "&amp;C2</f>
        <v>Conservador - PAPEL</v>
      </c>
      <c r="B2" s="4" t="s">
        <v>32</v>
      </c>
      <c r="C2" s="4" t="s">
        <v>21</v>
      </c>
      <c r="D2" s="5">
        <v>0.3</v>
      </c>
    </row>
    <row r="3" spans="1:4" s="6" customFormat="1" ht="18.75" customHeight="1" x14ac:dyDescent="0.25">
      <c r="A3" s="7" t="str">
        <f t="shared" ref="A3:A19" si="0">B3&amp;" - "&amp;C3</f>
        <v>Conservador - TIJOLO</v>
      </c>
      <c r="B3" s="8" t="s">
        <v>32</v>
      </c>
      <c r="C3" s="8" t="s">
        <v>22</v>
      </c>
      <c r="D3" s="9">
        <v>0.5</v>
      </c>
    </row>
    <row r="4" spans="1:4" s="6" customFormat="1" ht="18.75" customHeight="1" x14ac:dyDescent="0.25">
      <c r="A4" s="7" t="str">
        <f t="shared" si="0"/>
        <v>Conservador - HÍBRIDOS</v>
      </c>
      <c r="B4" s="8" t="s">
        <v>32</v>
      </c>
      <c r="C4" s="8" t="s">
        <v>23</v>
      </c>
      <c r="D4" s="9">
        <v>0.1</v>
      </c>
    </row>
    <row r="5" spans="1:4" s="6" customFormat="1" ht="18.75" customHeight="1" x14ac:dyDescent="0.25">
      <c r="A5" s="7" t="str">
        <f t="shared" si="0"/>
        <v>Conservador - FOFs</v>
      </c>
      <c r="B5" s="8" t="s">
        <v>32</v>
      </c>
      <c r="C5" s="8" t="s">
        <v>33</v>
      </c>
      <c r="D5" s="9">
        <v>0.1</v>
      </c>
    </row>
    <row r="6" spans="1:4" s="6" customFormat="1" ht="18.75" customHeight="1" x14ac:dyDescent="0.25">
      <c r="A6" s="7" t="str">
        <f t="shared" si="0"/>
        <v>Conservador - DESENVOLVIMENTO</v>
      </c>
      <c r="B6" s="8" t="s">
        <v>32</v>
      </c>
      <c r="C6" s="8" t="s">
        <v>24</v>
      </c>
      <c r="D6" s="9">
        <v>0</v>
      </c>
    </row>
    <row r="7" spans="1:4" s="6" customFormat="1" ht="18.75" customHeight="1" x14ac:dyDescent="0.25">
      <c r="A7" s="10" t="str">
        <f t="shared" si="0"/>
        <v>Conservador - HOTELARIAS</v>
      </c>
      <c r="B7" s="11" t="s">
        <v>32</v>
      </c>
      <c r="C7" s="11" t="s">
        <v>25</v>
      </c>
      <c r="D7" s="12">
        <v>0</v>
      </c>
    </row>
    <row r="8" spans="1:4" s="6" customFormat="1" ht="18.75" customHeight="1" x14ac:dyDescent="0.25">
      <c r="A8" s="13" t="str">
        <f t="shared" si="0"/>
        <v>Moderado - PAPEL</v>
      </c>
      <c r="B8" s="14" t="s">
        <v>34</v>
      </c>
      <c r="C8" s="14" t="s">
        <v>21</v>
      </c>
      <c r="D8" s="15">
        <v>0.32</v>
      </c>
    </row>
    <row r="9" spans="1:4" s="6" customFormat="1" ht="18.75" customHeight="1" x14ac:dyDescent="0.25">
      <c r="A9" s="16" t="str">
        <f t="shared" si="0"/>
        <v>Moderado - TIJOLO</v>
      </c>
      <c r="B9" s="17" t="s">
        <v>34</v>
      </c>
      <c r="C9" s="17" t="s">
        <v>22</v>
      </c>
      <c r="D9" s="18">
        <v>0.35</v>
      </c>
    </row>
    <row r="10" spans="1:4" s="6" customFormat="1" ht="18.75" customHeight="1" x14ac:dyDescent="0.25">
      <c r="A10" s="16" t="str">
        <f t="shared" si="0"/>
        <v>Moderado - HÍBRIDOS</v>
      </c>
      <c r="B10" s="17" t="s">
        <v>34</v>
      </c>
      <c r="C10" s="17" t="s">
        <v>23</v>
      </c>
      <c r="D10" s="18">
        <v>0.08</v>
      </c>
    </row>
    <row r="11" spans="1:4" s="6" customFormat="1" ht="18.75" customHeight="1" x14ac:dyDescent="0.25">
      <c r="A11" s="16" t="str">
        <f t="shared" si="0"/>
        <v>Moderado - FOFs</v>
      </c>
      <c r="B11" s="17" t="s">
        <v>34</v>
      </c>
      <c r="C11" s="17" t="s">
        <v>33</v>
      </c>
      <c r="D11" s="18">
        <v>0.05</v>
      </c>
    </row>
    <row r="12" spans="1:4" s="6" customFormat="1" ht="18.75" customHeight="1" x14ac:dyDescent="0.25">
      <c r="A12" s="16" t="str">
        <f t="shared" si="0"/>
        <v>Moderado - DESENVOLVIMENTO</v>
      </c>
      <c r="B12" s="17" t="s">
        <v>34</v>
      </c>
      <c r="C12" s="17" t="s">
        <v>24</v>
      </c>
      <c r="D12" s="18">
        <v>0.1</v>
      </c>
    </row>
    <row r="13" spans="1:4" s="6" customFormat="1" ht="18.75" customHeight="1" x14ac:dyDescent="0.25">
      <c r="A13" s="19" t="str">
        <f t="shared" si="0"/>
        <v>Moderado - HOTELARIAS</v>
      </c>
      <c r="B13" s="20" t="s">
        <v>34</v>
      </c>
      <c r="C13" s="20" t="s">
        <v>25</v>
      </c>
      <c r="D13" s="21">
        <v>0.1</v>
      </c>
    </row>
    <row r="14" spans="1:4" s="6" customFormat="1" ht="18.75" customHeight="1" x14ac:dyDescent="0.25">
      <c r="A14" s="22" t="str">
        <f t="shared" si="0"/>
        <v>Agressivo - PAPEL</v>
      </c>
      <c r="B14" s="23" t="s">
        <v>35</v>
      </c>
      <c r="C14" s="23" t="s">
        <v>21</v>
      </c>
      <c r="D14" s="24">
        <v>0.5</v>
      </c>
    </row>
    <row r="15" spans="1:4" s="6" customFormat="1" ht="18.75" customHeight="1" x14ac:dyDescent="0.25">
      <c r="A15" s="25" t="str">
        <f t="shared" si="0"/>
        <v>Agressivo - TIJOLO</v>
      </c>
      <c r="B15" s="26" t="s">
        <v>35</v>
      </c>
      <c r="C15" s="26" t="s">
        <v>22</v>
      </c>
      <c r="D15" s="27">
        <v>0.1</v>
      </c>
    </row>
    <row r="16" spans="1:4" s="6" customFormat="1" ht="18.75" customHeight="1" x14ac:dyDescent="0.25">
      <c r="A16" s="25" t="str">
        <f t="shared" si="0"/>
        <v>Agressivo - HÍBRIDOS</v>
      </c>
      <c r="B16" s="26" t="s">
        <v>35</v>
      </c>
      <c r="C16" s="26" t="s">
        <v>23</v>
      </c>
      <c r="D16" s="27">
        <v>0.05</v>
      </c>
    </row>
    <row r="17" spans="1:4" s="6" customFormat="1" ht="18.75" customHeight="1" x14ac:dyDescent="0.25">
      <c r="A17" s="25" t="str">
        <f t="shared" si="0"/>
        <v>Agressivo - FOFs</v>
      </c>
      <c r="B17" s="26" t="s">
        <v>35</v>
      </c>
      <c r="C17" s="26" t="s">
        <v>33</v>
      </c>
      <c r="D17" s="27">
        <v>0.05</v>
      </c>
    </row>
    <row r="18" spans="1:4" s="6" customFormat="1" ht="18.75" customHeight="1" x14ac:dyDescent="0.25">
      <c r="A18" s="25" t="str">
        <f t="shared" si="0"/>
        <v>Agressivo - DESENVOLVIMENTO</v>
      </c>
      <c r="B18" s="26" t="s">
        <v>35</v>
      </c>
      <c r="C18" s="26" t="s">
        <v>24</v>
      </c>
      <c r="D18" s="27">
        <v>0.2</v>
      </c>
    </row>
    <row r="19" spans="1:4" s="6" customFormat="1" ht="18.75" customHeight="1" thickBot="1" x14ac:dyDescent="0.3">
      <c r="A19" s="28" t="str">
        <f t="shared" si="0"/>
        <v>Agressivo - HOTELARIAS</v>
      </c>
      <c r="B19" s="29" t="s">
        <v>35</v>
      </c>
      <c r="C19" s="29" t="s">
        <v>25</v>
      </c>
      <c r="D19" s="30">
        <v>0.1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F2A184-00B4-46DF-B9C5-78AE4D924F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Simulação</vt:lpstr>
      <vt:lpstr>Sheet1</vt:lpstr>
      <vt:lpstr>aporte_inicial</vt:lpstr>
      <vt:lpstr>investim_mensal</vt:lpstr>
      <vt:lpstr>Nper</vt:lpstr>
      <vt:lpstr>patrimonio</vt:lpstr>
      <vt:lpstr>rendimento</vt:lpstr>
      <vt:lpstr>Salario</vt:lpstr>
      <vt:lpstr>tx_rend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Gabriel Soares da Silva</dc:creator>
  <cp:lastModifiedBy>Rodrigo Gabriel Soares da Silva</cp:lastModifiedBy>
  <dcterms:created xsi:type="dcterms:W3CDTF">2026-09-30T08:58:24Z</dcterms:created>
  <dcterms:modified xsi:type="dcterms:W3CDTF">2026-10-06T09:43:11Z</dcterms:modified>
</cp:coreProperties>
</file>